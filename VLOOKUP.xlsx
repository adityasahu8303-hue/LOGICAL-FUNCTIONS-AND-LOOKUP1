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9f64bef17d2ca6/Documents/"/>
    </mc:Choice>
  </mc:AlternateContent>
  <xr:revisionPtr revIDLastSave="113" documentId="8_{D59B1484-E97F-4629-AE0B-000F415BD6B8}" xr6:coauthVersionLast="47" xr6:coauthVersionMax="47" xr10:uidLastSave="{00D26658-DB92-4E05-ADD6-754D174F2AA4}"/>
  <bookViews>
    <workbookView xWindow="-108" yWindow="-108" windowWidth="23256" windowHeight="12456" xr2:uid="{50423AD0-9EEF-4B07-9E39-FECD8C9D0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" l="1"/>
  <c r="D53" i="1"/>
  <c r="D47" i="1"/>
  <c r="D48" i="1"/>
  <c r="D46" i="1"/>
  <c r="D39" i="1"/>
  <c r="E31" i="1" l="1"/>
  <c r="C22" i="1"/>
  <c r="C23" i="1"/>
  <c r="C24" i="1"/>
  <c r="C25" i="1"/>
  <c r="C21" i="1"/>
  <c r="D14" i="1" a="1"/>
  <c r="D14" i="1"/>
  <c r="D15" i="1" a="1"/>
  <c r="D15" i="1"/>
  <c r="D16" i="1" a="1"/>
  <c r="D16" i="1"/>
  <c r="D13" i="1" a="1"/>
  <c r="D13" i="1" s="1"/>
  <c r="C5" i="1"/>
  <c r="C6" i="1"/>
  <c r="C7" i="1"/>
  <c r="C8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<sst xmlns="http://schemas.openxmlformats.org/spreadsheetml/2006/main" count="75" uniqueCount="61">
  <si>
    <t xml:space="preserve">STUDENT NAME </t>
  </si>
  <si>
    <t>MARKS</t>
  </si>
  <si>
    <t xml:space="preserve">RIYA </t>
  </si>
  <si>
    <t>SIYA</t>
  </si>
  <si>
    <t>RAJU</t>
  </si>
  <si>
    <t>RAHUL</t>
  </si>
  <si>
    <t>RAM</t>
  </si>
  <si>
    <t>ELIGIBILTY</t>
  </si>
  <si>
    <t>QUES 1. Write a formula to check if the marks in cell are greater than or equal to 40. If yes, return , otherwise . B2 "Pass" "Fail"</t>
  </si>
  <si>
    <t>SALES</t>
  </si>
  <si>
    <t>EMPLOYEE</t>
  </si>
  <si>
    <t>ATTENDANCE</t>
  </si>
  <si>
    <t>Arjun</t>
  </si>
  <si>
    <t>simran</t>
  </si>
  <si>
    <t>rohit</t>
  </si>
  <si>
    <t>anjali</t>
  </si>
  <si>
    <t>ques 2. company gives a bonus  if sales are above 40,000 and attendance is greater than or equal to 90%. Write a formula to calculate whether the employee will get a bonus or not .</t>
  </si>
  <si>
    <t>BONUS</t>
  </si>
  <si>
    <t>ques 3.Write a nested IF formula:_x000B_ If marks in are ≥ 90 → , ≥ 75 → , ≥ 50 → , otherwise . B2 "A" "B" "C" "Fa</t>
  </si>
  <si>
    <t xml:space="preserve"> MARKS</t>
  </si>
  <si>
    <t>RESULT</t>
  </si>
  <si>
    <t>Raj</t>
  </si>
  <si>
    <t>Neha</t>
  </si>
  <si>
    <t>Vivek</t>
  </si>
  <si>
    <t>Rani</t>
  </si>
  <si>
    <t>Sneha</t>
  </si>
  <si>
    <t>Ques 4. Find the Department of Employee ID = E103. Also explain which LOOKUP function is used and why?</t>
  </si>
  <si>
    <t xml:space="preserve">EMPID </t>
  </si>
  <si>
    <t>NAME</t>
  </si>
  <si>
    <t>DEPARTMENT</t>
  </si>
  <si>
    <t>E101</t>
  </si>
  <si>
    <t>E102</t>
  </si>
  <si>
    <t>E103</t>
  </si>
  <si>
    <t>E104</t>
  </si>
  <si>
    <t>RIYA</t>
  </si>
  <si>
    <t>ROSHNI</t>
  </si>
  <si>
    <t>SEJAL</t>
  </si>
  <si>
    <t>FINANCE</t>
  </si>
  <si>
    <t>IT</t>
  </si>
  <si>
    <t>HR</t>
  </si>
  <si>
    <t>HERE WE ARE USING VLOOKUP BECAUSE WE NEED TO FIND THE OBJECT VERTICALLY</t>
  </si>
  <si>
    <t>Ques 5. Company has set the following commission structure for its sales team:</t>
  </si>
  <si>
    <t>commisiion rate</t>
  </si>
  <si>
    <t>sales amount</t>
  </si>
  <si>
    <t>If a salesperson achieves sales of ₹45,000, use the VLOOKUP function to determine the commission rate applicable.</t>
  </si>
  <si>
    <t>Ques 6. Write an IF function to check whether an employee has Exceeded their allowed leave balance. If Leaves Taken &gt; Allowed Leaves, display "Exceeded". Otherwise, display "OK".</t>
  </si>
  <si>
    <t xml:space="preserve">EMPLOYEE NAME </t>
  </si>
  <si>
    <t xml:space="preserve">LEAVE TAKEN </t>
  </si>
  <si>
    <t>LEAVE ALLOWED</t>
  </si>
  <si>
    <t>ALEX</t>
  </si>
  <si>
    <t>BOB</t>
  </si>
  <si>
    <t>ANNA</t>
  </si>
  <si>
    <t>QUES 7. Find the salary of EmpID = E105 using INDEX-MATCH Function.</t>
  </si>
  <si>
    <t>EMPID</t>
  </si>
  <si>
    <t>SALARY</t>
  </si>
  <si>
    <t>E303</t>
  </si>
  <si>
    <t>E106</t>
  </si>
  <si>
    <t>E301</t>
  </si>
  <si>
    <t>E105</t>
  </si>
  <si>
    <t>Ques 8.U se the XLOOKUP function to find the Department of the employee with Emp ID = E303.</t>
  </si>
  <si>
    <t>SALSE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</si>
</sst>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Fill="1" applyBorder="1"/>
    <xf numFmtId="0" fontId="0" fillId="0" borderId="2" xfId="0" applyFont="1" applyBorder="1"/>
    <xf numFmtId="0" fontId="1" fillId="0" borderId="2" xfId="0" applyFont="1" applyBorder="1"/>
    <xf numFmtId="9" fontId="0" fillId="0" borderId="0" xfId="0" applyNumberFormat="1"/>
    <xf numFmtId="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813B-8986-4874-90D3-1AE7922DA4AF}">
  <dimension ref="A1:G64"/>
  <sheetViews>
    <sheetView tabSelected="1" zoomScaleNormal="100" workbookViewId="0">
      <selection activeCell="M9" sqref="M9"/>
    </sheetView>
  </sheetViews>
  <sheetFormatPr defaultRowHeight="14.4" x14ac:dyDescent="0.3"/>
  <cols>
    <col min="1" max="1" width="16.88671875" customWidth="1"/>
    <col min="2" max="2" width="13.109375" customWidth="1"/>
    <col min="3" max="3" width="16.6640625" customWidth="1"/>
    <col min="4" max="4" width="16.21875" customWidth="1"/>
  </cols>
  <sheetData>
    <row r="1" spans="1:4" s="1" customFormat="1" x14ac:dyDescent="0.3">
      <c r="A1" s="1" t="s">
        <v>8</v>
      </c>
    </row>
    <row r="3" spans="1:4" x14ac:dyDescent="0.3">
      <c r="A3" s="2" t="s">
        <v>0</v>
      </c>
      <c r="B3" s="2" t="s">
        <v>1</v>
      </c>
      <c r="C3" s="2" t="s">
        <v>7</v>
      </c>
    </row>
    <row r="4" spans="1:4" x14ac:dyDescent="0.3">
      <c r="A4" s="2" t="s">
        <v>2</v>
      </c>
      <c r="B4" s="2">
        <v>45</v>
      </c>
      <c r="C4" s="2" t="b">
        <f>IF(B4&gt;=40,TRUE,FALSE)</f>
        <v>1</v>
      </c>
    </row>
    <row r="5" spans="1:4" x14ac:dyDescent="0.3">
      <c r="A5" s="2" t="s">
        <v>3</v>
      </c>
      <c r="B5" s="2">
        <v>72</v>
      </c>
      <c r="C5" s="2" t="b">
        <f t="shared" ref="C5:C8" si="0">IF(B5&gt;=40,TRUE,FALSE)</f>
        <v>1</v>
      </c>
    </row>
    <row r="6" spans="1:4" x14ac:dyDescent="0.3">
      <c r="A6" s="2" t="s">
        <v>4</v>
      </c>
      <c r="B6" s="2">
        <v>55</v>
      </c>
      <c r="C6" s="2" t="b">
        <f t="shared" si="0"/>
        <v>1</v>
      </c>
    </row>
    <row r="7" spans="1:4" x14ac:dyDescent="0.3">
      <c r="A7" s="2" t="s">
        <v>5</v>
      </c>
      <c r="B7" s="2">
        <v>80</v>
      </c>
      <c r="C7" s="2" t="b">
        <f t="shared" si="0"/>
        <v>1</v>
      </c>
    </row>
    <row r="8" spans="1:4" x14ac:dyDescent="0.3">
      <c r="A8" s="2" t="s">
        <v>6</v>
      </c>
      <c r="B8" s="2">
        <v>30</v>
      </c>
      <c r="C8" s="2" t="b">
        <f t="shared" si="0"/>
        <v>0</v>
      </c>
    </row>
    <row r="10" spans="1:4" x14ac:dyDescent="0.3">
      <c r="A10" t="s">
        <v>16</v>
      </c>
    </row>
    <row r="12" spans="1:4" x14ac:dyDescent="0.3">
      <c r="A12" s="2" t="s">
        <v>10</v>
      </c>
      <c r="B12" s="2" t="s">
        <v>9</v>
      </c>
      <c r="C12" s="2" t="s">
        <v>11</v>
      </c>
      <c r="D12" s="3" t="s">
        <v>17</v>
      </c>
    </row>
    <row r="13" spans="1:4" x14ac:dyDescent="0.3">
      <c r="A13" s="2" t="s">
        <v>12</v>
      </c>
      <c r="B13" s="2">
        <v>55000</v>
      </c>
      <c r="C13" s="2">
        <v>95</v>
      </c>
      <c r="D13" s="2" t="b" cm="1">
        <f t="array" ref="D13">_xlfn.IFS(B13&gt;40000,C13&gt;=90,TRUE,FALSE)</f>
        <v>1</v>
      </c>
    </row>
    <row r="14" spans="1:4" x14ac:dyDescent="0.3">
      <c r="A14" s="2" t="s">
        <v>13</v>
      </c>
      <c r="B14" s="2">
        <v>65000</v>
      </c>
      <c r="C14" s="2">
        <v>85</v>
      </c>
      <c r="D14" s="2" t="b" cm="1">
        <f t="array" ref="D14">_xlfn.IFS(B14&gt;40000,C14&gt;=90,TRUE,FALSE)</f>
        <v>0</v>
      </c>
    </row>
    <row r="15" spans="1:4" x14ac:dyDescent="0.3">
      <c r="A15" s="2" t="s">
        <v>14</v>
      </c>
      <c r="B15" s="2">
        <v>25000</v>
      </c>
      <c r="C15" s="2">
        <v>90</v>
      </c>
      <c r="D15" s="2" t="b" cm="1">
        <f t="array" ref="D15">_xlfn.IFS(B15&gt;40000,C15&gt;=90,TRUE,FALSE)</f>
        <v>0</v>
      </c>
    </row>
    <row r="16" spans="1:4" x14ac:dyDescent="0.3">
      <c r="A16" s="2" t="s">
        <v>15</v>
      </c>
      <c r="B16" s="2">
        <v>30000</v>
      </c>
      <c r="C16" s="2">
        <v>65</v>
      </c>
      <c r="D16" s="2" t="b" cm="1">
        <f t="array" ref="D16">_xlfn.IFS(B16&gt;40000,C16&gt;=90,TRUE,FALSE)</f>
        <v>0</v>
      </c>
    </row>
    <row r="18" spans="1:5" x14ac:dyDescent="0.3">
      <c r="A18" t="s">
        <v>18</v>
      </c>
    </row>
    <row r="20" spans="1:5" x14ac:dyDescent="0.3">
      <c r="A20" s="4" t="s">
        <v>0</v>
      </c>
      <c r="B20" s="4" t="s">
        <v>19</v>
      </c>
      <c r="C20" s="4" t="s">
        <v>20</v>
      </c>
    </row>
    <row r="21" spans="1:5" x14ac:dyDescent="0.3">
      <c r="A21" s="4" t="s">
        <v>21</v>
      </c>
      <c r="B21" s="4">
        <v>85</v>
      </c>
      <c r="C21" s="4" t="str">
        <f>IF(B21&gt;=90,"A",IF(B21&gt;=75,"B",IF(B21&gt;=50,"C",FALSE)))</f>
        <v>B</v>
      </c>
    </row>
    <row r="22" spans="1:5" x14ac:dyDescent="0.3">
      <c r="A22" s="4" t="s">
        <v>22</v>
      </c>
      <c r="B22" s="4">
        <v>96</v>
      </c>
      <c r="C22" s="4" t="str">
        <f t="shared" ref="C22:C25" si="1">IF(B22&gt;=90,"A",IF(B22&gt;=75,"B",IF(B22&gt;=50,"C",FALSE)))</f>
        <v>A</v>
      </c>
    </row>
    <row r="23" spans="1:5" x14ac:dyDescent="0.3">
      <c r="A23" s="4" t="s">
        <v>23</v>
      </c>
      <c r="B23" s="4">
        <v>57</v>
      </c>
      <c r="C23" s="4" t="str">
        <f t="shared" si="1"/>
        <v>C</v>
      </c>
    </row>
    <row r="24" spans="1:5" x14ac:dyDescent="0.3">
      <c r="A24" s="4" t="s">
        <v>24</v>
      </c>
      <c r="B24" s="4">
        <v>92</v>
      </c>
      <c r="C24" s="4" t="str">
        <f t="shared" si="1"/>
        <v>A</v>
      </c>
    </row>
    <row r="25" spans="1:5" x14ac:dyDescent="0.3">
      <c r="A25" s="4" t="s">
        <v>25</v>
      </c>
      <c r="B25" s="4">
        <v>75</v>
      </c>
      <c r="C25" s="4" t="str">
        <f t="shared" si="1"/>
        <v>B</v>
      </c>
    </row>
    <row r="27" spans="1:5" x14ac:dyDescent="0.3">
      <c r="A27" t="s">
        <v>26</v>
      </c>
    </row>
    <row r="29" spans="1:5" x14ac:dyDescent="0.3">
      <c r="A29" s="2" t="s">
        <v>27</v>
      </c>
      <c r="B29" s="2" t="s">
        <v>28</v>
      </c>
      <c r="C29" s="2" t="s">
        <v>29</v>
      </c>
      <c r="E29" t="s">
        <v>40</v>
      </c>
    </row>
    <row r="30" spans="1:5" x14ac:dyDescent="0.3">
      <c r="A30" s="2" t="s">
        <v>30</v>
      </c>
      <c r="B30" s="2" t="s">
        <v>4</v>
      </c>
      <c r="C30" s="2" t="s">
        <v>38</v>
      </c>
    </row>
    <row r="31" spans="1:5" x14ac:dyDescent="0.3">
      <c r="A31" s="2" t="s">
        <v>31</v>
      </c>
      <c r="B31" s="2" t="s">
        <v>34</v>
      </c>
      <c r="C31" s="2" t="s">
        <v>39</v>
      </c>
      <c r="E31" s="5" t="str">
        <f>VLOOKUP(A32,A29:C33,3,FALSE)</f>
        <v>FINANCE</v>
      </c>
    </row>
    <row r="32" spans="1:5" x14ac:dyDescent="0.3">
      <c r="A32" s="2" t="s">
        <v>32</v>
      </c>
      <c r="B32" s="2" t="s">
        <v>35</v>
      </c>
      <c r="C32" s="2" t="s">
        <v>37</v>
      </c>
    </row>
    <row r="33" spans="1:6" x14ac:dyDescent="0.3">
      <c r="A33" s="2" t="s">
        <v>33</v>
      </c>
      <c r="B33" s="2" t="s">
        <v>36</v>
      </c>
      <c r="C33" s="2" t="s">
        <v>9</v>
      </c>
    </row>
    <row r="35" spans="1:6" x14ac:dyDescent="0.3">
      <c r="A35" t="s">
        <v>41</v>
      </c>
    </row>
    <row r="36" spans="1:6" x14ac:dyDescent="0.3">
      <c r="A36" t="s">
        <v>44</v>
      </c>
    </row>
    <row r="37" spans="1:6" x14ac:dyDescent="0.3">
      <c r="A37" s="2" t="s">
        <v>43</v>
      </c>
      <c r="B37" s="2" t="s">
        <v>42</v>
      </c>
      <c r="D37">
        <v>45000</v>
      </c>
    </row>
    <row r="38" spans="1:6" x14ac:dyDescent="0.3">
      <c r="A38" s="2">
        <v>0</v>
      </c>
      <c r="B38" s="7">
        <v>0.05</v>
      </c>
    </row>
    <row r="39" spans="1:6" x14ac:dyDescent="0.3">
      <c r="A39" s="2">
        <v>20000</v>
      </c>
      <c r="B39" s="7">
        <v>0.1</v>
      </c>
      <c r="D39" s="6">
        <f>VLOOKUP(D37,A38:B41,2,TRUE)</f>
        <v>0.1</v>
      </c>
      <c r="F39" s="6"/>
    </row>
    <row r="40" spans="1:6" x14ac:dyDescent="0.3">
      <c r="A40" s="2">
        <v>50000</v>
      </c>
      <c r="B40" s="7">
        <v>0.15</v>
      </c>
    </row>
    <row r="41" spans="1:6" x14ac:dyDescent="0.3">
      <c r="A41" s="2">
        <v>80000</v>
      </c>
      <c r="B41" s="7">
        <v>0.2</v>
      </c>
    </row>
    <row r="43" spans="1:6" x14ac:dyDescent="0.3">
      <c r="A43" t="s">
        <v>45</v>
      </c>
    </row>
    <row r="45" spans="1:6" x14ac:dyDescent="0.3">
      <c r="A45" s="2" t="s">
        <v>46</v>
      </c>
      <c r="B45" s="2" t="s">
        <v>47</v>
      </c>
      <c r="C45" s="2" t="s">
        <v>48</v>
      </c>
      <c r="D45" s="2" t="s">
        <v>20</v>
      </c>
    </row>
    <row r="46" spans="1:6" x14ac:dyDescent="0.3">
      <c r="A46" s="2" t="s">
        <v>49</v>
      </c>
      <c r="B46" s="2">
        <v>10</v>
      </c>
      <c r="C46" s="2">
        <v>12</v>
      </c>
      <c r="D46" s="2" t="str">
        <f>IF(B46&gt;C46,"EXCEEDED","OK")</f>
        <v>OK</v>
      </c>
    </row>
    <row r="47" spans="1:6" x14ac:dyDescent="0.3">
      <c r="A47" s="2" t="s">
        <v>50</v>
      </c>
      <c r="B47" s="2">
        <v>10</v>
      </c>
      <c r="C47" s="2">
        <v>15</v>
      </c>
      <c r="D47" s="2" t="str">
        <f t="shared" ref="D47:D48" si="2">IF(B47&gt;C47,"EXCEEDED","OK")</f>
        <v>OK</v>
      </c>
    </row>
    <row r="48" spans="1:6" x14ac:dyDescent="0.3">
      <c r="A48" s="2" t="s">
        <v>51</v>
      </c>
      <c r="B48" s="2">
        <v>8</v>
      </c>
      <c r="C48" s="2">
        <v>12</v>
      </c>
      <c r="D48" s="2" t="str">
        <f t="shared" si="2"/>
        <v>OK</v>
      </c>
    </row>
    <row r="50" spans="1:7" x14ac:dyDescent="0.3">
      <c r="A50" t="s">
        <v>52</v>
      </c>
    </row>
    <row r="52" spans="1:7" x14ac:dyDescent="0.3">
      <c r="A52" s="2" t="s">
        <v>53</v>
      </c>
      <c r="B52" s="2" t="s">
        <v>54</v>
      </c>
    </row>
    <row r="53" spans="1:7" x14ac:dyDescent="0.3">
      <c r="A53" s="2" t="s">
        <v>33</v>
      </c>
      <c r="B53" s="2">
        <v>55000</v>
      </c>
      <c r="D53">
        <f>INDEX(B53:B56,MATCH("E105",A53:A56,0))</f>
        <v>72000</v>
      </c>
    </row>
    <row r="54" spans="1:7" x14ac:dyDescent="0.3">
      <c r="A54" s="2" t="s">
        <v>58</v>
      </c>
      <c r="B54" s="2">
        <v>72000</v>
      </c>
    </row>
    <row r="55" spans="1:7" x14ac:dyDescent="0.3">
      <c r="A55" s="2" t="s">
        <v>56</v>
      </c>
      <c r="B55" s="2">
        <v>62000</v>
      </c>
    </row>
    <row r="56" spans="1:7" x14ac:dyDescent="0.3">
      <c r="A56" s="2" t="s">
        <v>31</v>
      </c>
      <c r="B56" s="2">
        <v>41000</v>
      </c>
    </row>
    <row r="58" spans="1:7" x14ac:dyDescent="0.3">
      <c r="A58" t="s">
        <v>59</v>
      </c>
    </row>
    <row r="59" spans="1:7" x14ac:dyDescent="0.3">
      <c r="G59" t="s">
        <v>55</v>
      </c>
    </row>
    <row r="60" spans="1:7" x14ac:dyDescent="0.3">
      <c r="A60" t="s">
        <v>27</v>
      </c>
      <c r="B60" t="s">
        <v>54</v>
      </c>
      <c r="C60" t="str">
        <f>_xlfn.XLOOKUP(G59,A61:A64,B61:B64,"NOT PRESENT",0)</f>
        <v>IT</v>
      </c>
    </row>
    <row r="61" spans="1:7" x14ac:dyDescent="0.3">
      <c r="A61" t="s">
        <v>30</v>
      </c>
      <c r="B61" t="s">
        <v>39</v>
      </c>
    </row>
    <row r="62" spans="1:7" x14ac:dyDescent="0.3">
      <c r="A62" t="s">
        <v>55</v>
      </c>
      <c r="B62" t="s">
        <v>38</v>
      </c>
    </row>
    <row r="63" spans="1:7" x14ac:dyDescent="0.3">
      <c r="A63" t="s">
        <v>56</v>
      </c>
      <c r="B63" t="s">
        <v>60</v>
      </c>
    </row>
    <row r="64" spans="1:7" x14ac:dyDescent="0.3">
      <c r="A64" t="s">
        <v>57</v>
      </c>
      <c r="B6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sahu</dc:creator>
  <cp:lastModifiedBy>aditya sahu</cp:lastModifiedBy>
  <dcterms:created xsi:type="dcterms:W3CDTF">2026-02-13T11:33:48Z</dcterms:created>
  <dcterms:modified xsi:type="dcterms:W3CDTF">2026-02-13T13:03:43Z</dcterms:modified>
</cp:coreProperties>
</file>